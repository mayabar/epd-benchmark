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yab/Work/AI/Routing/LLM-D/llm-d/guides/benchmark/results/"/>
    </mc:Choice>
  </mc:AlternateContent>
  <xr:revisionPtr revIDLastSave="0" documentId="13_ncr:1_{B65AD9AA-81B7-5843-B1CB-E13A8CBBA2B3}" xr6:coauthVersionLast="47" xr6:coauthVersionMax="47" xr10:uidLastSave="{00000000-0000-0000-0000-000000000000}"/>
  <bookViews>
    <workbookView xWindow="-18180" yWindow="500" windowWidth="18180" windowHeight="20000" activeTab="3" xr2:uid="{02B91CB4-31C4-4B41-B1F9-606BDE712A86}"/>
  </bookViews>
  <sheets>
    <sheet name="Sheet1" sheetId="1" r:id="rId1"/>
    <sheet name="Sheet2" sheetId="2" r:id="rId2"/>
    <sheet name="Sheet3" sheetId="3" r:id="rId3"/>
    <sheet name="Sheet4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0" i="4" l="1"/>
  <c r="C32" i="4"/>
  <c r="D29" i="4"/>
  <c r="D17" i="4"/>
  <c r="C38" i="4"/>
  <c r="C37" i="4"/>
  <c r="G3" i="4"/>
  <c r="G2" i="4"/>
  <c r="G38" i="4"/>
  <c r="G37" i="4"/>
  <c r="D41" i="4"/>
  <c r="C44" i="4" s="1"/>
  <c r="C3" i="4" l="1"/>
  <c r="C2" i="4"/>
  <c r="C26" i="4"/>
  <c r="C25" i="4"/>
  <c r="C14" i="4"/>
  <c r="C13" i="4"/>
  <c r="D6" i="4"/>
  <c r="C9" i="4" s="1"/>
  <c r="E4" i="3"/>
  <c r="E2" i="3"/>
  <c r="B81" i="2"/>
  <c r="B80" i="2"/>
  <c r="B79" i="2"/>
  <c r="B78" i="2"/>
  <c r="B85" i="2" s="1"/>
  <c r="B77" i="2"/>
  <c r="B76" i="2"/>
  <c r="B61" i="2"/>
  <c r="B57" i="2"/>
  <c r="B56" i="2"/>
  <c r="B55" i="2"/>
  <c r="B54" i="2"/>
  <c r="B53" i="2"/>
  <c r="B52" i="2"/>
  <c r="I13" i="4" l="1"/>
  <c r="I25" i="4"/>
  <c r="B30" i="2"/>
  <c r="B31" i="2"/>
  <c r="B38" i="2" s="1"/>
  <c r="B32" i="2"/>
  <c r="B33" i="2"/>
  <c r="B34" i="2"/>
  <c r="B29" i="2"/>
  <c r="N57" i="2"/>
  <c r="H57" i="2"/>
  <c r="N56" i="2"/>
  <c r="H56" i="2"/>
  <c r="N55" i="2"/>
  <c r="H55" i="2"/>
  <c r="N54" i="2"/>
  <c r="N61" i="2" s="1"/>
  <c r="H54" i="2"/>
  <c r="H61" i="2" s="1"/>
  <c r="N53" i="2"/>
  <c r="H53" i="2"/>
  <c r="N52" i="2"/>
  <c r="H52" i="2"/>
  <c r="H29" i="2"/>
  <c r="N34" i="2"/>
  <c r="H34" i="2"/>
  <c r="N33" i="2"/>
  <c r="H33" i="2"/>
  <c r="N32" i="2"/>
  <c r="H32" i="2"/>
  <c r="N31" i="2"/>
  <c r="N38" i="2" s="1"/>
  <c r="H31" i="2"/>
  <c r="H38" i="2" s="1"/>
  <c r="N30" i="2"/>
  <c r="H30" i="2"/>
  <c r="N29" i="2"/>
  <c r="N6" i="2"/>
  <c r="N7" i="2"/>
  <c r="N14" i="2" s="1"/>
  <c r="N8" i="2"/>
  <c r="N9" i="2"/>
  <c r="N10" i="2"/>
  <c r="N5" i="2"/>
  <c r="H14" i="2"/>
  <c r="B6" i="2"/>
  <c r="B7" i="2"/>
  <c r="B14" i="2" s="1"/>
  <c r="B8" i="2"/>
  <c r="B9" i="2"/>
  <c r="B10" i="2"/>
  <c r="B5" i="2"/>
  <c r="H6" i="2"/>
  <c r="H7" i="2"/>
  <c r="H8" i="2"/>
  <c r="H9" i="2"/>
  <c r="H10" i="2"/>
  <c r="H5" i="2"/>
</calcChain>
</file>

<file path=xl/sharedStrings.xml><?xml version="1.0" encoding="utf-8"?>
<sst xmlns="http://schemas.openxmlformats.org/spreadsheetml/2006/main" count="278" uniqueCount="105">
  <si>
    <t>vllm:request_prefill_time_seconds</t>
  </si>
  <si>
    <t>---------------------------------</t>
  </si>
  <si>
    <t>Buckets:</t>
  </si>
  <si>
    <t xml:space="preserve">    bucket limit </t>
  </si>
  <si>
    <t xml:space="preserve"> value</t>
  </si>
  <si>
    <t xml:space="preserve">  ---------------+-----------</t>
  </si>
  <si>
    <t>Count: 6</t>
  </si>
  <si>
    <t>Sum: 0.42</t>
  </si>
  <si>
    <t>vllm:request_decode_time_seconds</t>
  </si>
  <si>
    <t>--------------------------------</t>
  </si>
  <si>
    <t>Sum: 6.92</t>
  </si>
  <si>
    <t>RATE 1</t>
  </si>
  <si>
    <t>Count: 51</t>
  </si>
  <si>
    <t>Sum: 3.91</t>
  </si>
  <si>
    <t>Sum: 163.81</t>
  </si>
  <si>
    <t>RATE 10</t>
  </si>
  <si>
    <t>----------------End-to-End Latency----------------</t>
  </si>
  <si>
    <t xml:space="preserve">Mean E2E Latency (ms):                   1482.59   </t>
  </si>
  <si>
    <t xml:space="preserve">Median E2E Latency (ms):                 1502.86   </t>
  </si>
  <si>
    <t xml:space="preserve">P90 E2E Latency (ms):                    1535.89   </t>
  </si>
  <si>
    <t xml:space="preserve">P95 E2E Latency (ms):                    1545.21   </t>
  </si>
  <si>
    <t xml:space="preserve">P99 E2E Latency (ms):                    1552.66   </t>
  </si>
  <si>
    <t>---------------Time to First Token----------------</t>
  </si>
  <si>
    <t xml:space="preserve">Mean TTFT (ms):                          160.65    </t>
  </si>
  <si>
    <t xml:space="preserve">Median TTFT (ms):                        159.31    </t>
  </si>
  <si>
    <t xml:space="preserve">P90 TTFT (ms):                           169.87    </t>
  </si>
  <si>
    <t xml:space="preserve">P95 TTFT (ms):                           170.56    </t>
  </si>
  <si>
    <t xml:space="preserve">P99 TTFT (ms):                           171.11    </t>
  </si>
  <si>
    <t>-----Time per Output Token (excl. 1st token)------</t>
  </si>
  <si>
    <t xml:space="preserve">Mean TPOT (ms):                          10.41     </t>
  </si>
  <si>
    <t xml:space="preserve">Median TPOT (ms):                        10.52     </t>
  </si>
  <si>
    <t xml:space="preserve">P90 TPOT (ms):                           10.78     </t>
  </si>
  <si>
    <t xml:space="preserve">P95 TPOT (ms):                           10.85     </t>
  </si>
  <si>
    <t xml:space="preserve">P99 TPOT (ms):                           10.91     </t>
  </si>
  <si>
    <t>---------------Inter-Token Latency----------------</t>
  </si>
  <si>
    <t xml:space="preserve">Mean ITL (ms):                           10.56     </t>
  </si>
  <si>
    <t xml:space="preserve">Median ITL (ms):                         9.94      </t>
  </si>
  <si>
    <t xml:space="preserve">P90 ITL (ms):                            10.96     </t>
  </si>
  <si>
    <t xml:space="preserve">P95 ITL (ms):                            11.51     </t>
  </si>
  <si>
    <t xml:space="preserve">P99 ITL (ms):                            21.32     </t>
  </si>
  <si>
    <t xml:space="preserve">Max ITL (ms):                            55.86     </t>
  </si>
  <si>
    <t xml:space="preserve">Mean E2E Latency (ms):                   3749.03   </t>
  </si>
  <si>
    <t xml:space="preserve">Median E2E Latency (ms):                 4014.40   </t>
  </si>
  <si>
    <t xml:space="preserve">P90 E2E Latency (ms):                    4169.13   </t>
  </si>
  <si>
    <t xml:space="preserve">P95 E2E Latency (ms):                    4189.50   </t>
  </si>
  <si>
    <t xml:space="preserve">P99 E2E Latency (ms):                    4259.05   </t>
  </si>
  <si>
    <t xml:space="preserve">Mean TTFT (ms):                          485.53    </t>
  </si>
  <si>
    <t xml:space="preserve">Median TTFT (ms):                        485.39    </t>
  </si>
  <si>
    <t xml:space="preserve">P90 TTFT (ms):                           770.60    </t>
  </si>
  <si>
    <t xml:space="preserve">P95 TTFT (ms):                           830.04    </t>
  </si>
  <si>
    <t xml:space="preserve">P99 TTFT (ms):                           879.54    </t>
  </si>
  <si>
    <t xml:space="preserve">Mean TPOT (ms):                          25.70     </t>
  </si>
  <si>
    <t xml:space="preserve">Median TPOT (ms):                        26.26     </t>
  </si>
  <si>
    <t xml:space="preserve">P90 TPOT (ms):                           30.38     </t>
  </si>
  <si>
    <t xml:space="preserve">P95 TPOT (ms):                           30.77     </t>
  </si>
  <si>
    <t xml:space="preserve">P99 TPOT (ms):                           30.98     </t>
  </si>
  <si>
    <t xml:space="preserve">Mean ITL (ms):                           26.16     </t>
  </si>
  <si>
    <t xml:space="preserve">Median ITL (ms):                         19.42     </t>
  </si>
  <si>
    <t xml:space="preserve">P90 ITL (ms):                            71.28     </t>
  </si>
  <si>
    <t xml:space="preserve">P95 ITL (ms):                            78.40     </t>
  </si>
  <si>
    <t xml:space="preserve">P99 ITL (ms):                            83.72     </t>
  </si>
  <si>
    <t xml:space="preserve">Max ITL (ms):                            172.69    </t>
  </si>
  <si>
    <t>TTFT</t>
  </si>
  <si>
    <t>Mertics</t>
  </si>
  <si>
    <t>Prefill</t>
  </si>
  <si>
    <t>Queue time</t>
  </si>
  <si>
    <t>Decode per token</t>
  </si>
  <si>
    <t>TPOT</t>
  </si>
  <si>
    <t>ITL</t>
  </si>
  <si>
    <t>Output</t>
  </si>
  <si>
    <t>Decode (128 t)</t>
  </si>
  <si>
    <t>Mertics D</t>
  </si>
  <si>
    <t>sum</t>
  </si>
  <si>
    <t>count</t>
  </si>
  <si>
    <t>mean</t>
  </si>
  <si>
    <t>Mertics E</t>
  </si>
  <si>
    <t>BUG</t>
  </si>
  <si>
    <t>FIXED!!!</t>
  </si>
  <si>
    <t>DISAGGREGATED - SC Alexey - 5 min, rate 1</t>
  </si>
  <si>
    <t>DISAGGREGATED - SC Alexey - 10s, rate 1</t>
  </si>
  <si>
    <t>median</t>
  </si>
  <si>
    <t>DISAGGREGATED - SC 0.9.0 - 10s, rate 1</t>
  </si>
  <si>
    <t>AGGREGATED - 10 sec, rate 1</t>
  </si>
  <si>
    <t>AGGREGATED - 5 min, rate 1</t>
  </si>
  <si>
    <t>Decode (512 t)</t>
  </si>
  <si>
    <t>AGGREGATED - 40 s, rate 0.25, output 512</t>
  </si>
  <si>
    <t>AGGREGATED - 5 min, rate 0.25, output 512</t>
  </si>
  <si>
    <t xml:space="preserve">ITL </t>
  </si>
  <si>
    <t># req</t>
  </si>
  <si>
    <t xml:space="preserve">sum </t>
  </si>
  <si>
    <t>total</t>
  </si>
  <si>
    <t>per token</t>
  </si>
  <si>
    <t># token</t>
  </si>
  <si>
    <t>per request per token</t>
  </si>
  <si>
    <t>ttft</t>
  </si>
  <si>
    <t>total calc</t>
  </si>
  <si>
    <t>rate=1</t>
  </si>
  <si>
    <t>rate=2</t>
  </si>
  <si>
    <t>itl</t>
  </si>
  <si>
    <t>rate=4</t>
  </si>
  <si>
    <t>prefill</t>
  </si>
  <si>
    <t>decode</t>
  </si>
  <si>
    <t>rate=1, fixed empty tokens</t>
  </si>
  <si>
    <t xml:space="preserve">tpot </t>
  </si>
  <si>
    <t>tpot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</si>
</sst>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3" x14ac:knownFonts="1">
    <font>
      <sz val="12"/>
      <color theme="1"/>
      <name val="Aptos Narrow"/>
      <family val="2"/>
      <scheme val="minor"/>
    </font>
    <font>
      <b/>
      <i/>
      <sz val="12"/>
      <color theme="1"/>
      <name val="Aptos Narrow"/>
      <scheme val="minor"/>
    </font>
    <font>
      <i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2" fontId="0" fillId="2" borderId="0" xfId="0" applyNumberFormat="1" applyFill="1"/>
    <xf numFmtId="165" fontId="0" fillId="0" borderId="0" xfId="0" applyNumberFormat="1"/>
    <xf numFmtId="165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855B8-8A57-DC40-AA02-B37F628F9932}">
  <dimension ref="B2:H58"/>
  <sheetViews>
    <sheetView topLeftCell="A17" workbookViewId="0">
      <selection activeCell="B13" sqref="B13"/>
    </sheetView>
  </sheetViews>
  <sheetFormatPr baseColWidth="10" defaultRowHeight="16" x14ac:dyDescent="0.2"/>
  <sheetData>
    <row r="2" spans="2:8" x14ac:dyDescent="0.2">
      <c r="B2" t="s">
        <v>11</v>
      </c>
      <c r="G2" t="s">
        <v>15</v>
      </c>
    </row>
    <row r="4" spans="2:8" x14ac:dyDescent="0.2">
      <c r="B4" t="s">
        <v>0</v>
      </c>
      <c r="G4" t="s">
        <v>0</v>
      </c>
    </row>
    <row r="5" spans="2:8" x14ac:dyDescent="0.2">
      <c r="B5" t="s">
        <v>1</v>
      </c>
      <c r="G5" t="s">
        <v>1</v>
      </c>
    </row>
    <row r="6" spans="2:8" x14ac:dyDescent="0.2">
      <c r="B6" t="s">
        <v>2</v>
      </c>
      <c r="G6" t="s">
        <v>2</v>
      </c>
    </row>
    <row r="7" spans="2:8" x14ac:dyDescent="0.2">
      <c r="B7" t="s">
        <v>3</v>
      </c>
      <c r="C7" t="s">
        <v>4</v>
      </c>
      <c r="G7" t="s">
        <v>3</v>
      </c>
      <c r="H7" t="s">
        <v>4</v>
      </c>
    </row>
    <row r="8" spans="2:8" x14ac:dyDescent="0.2">
      <c r="B8" t="s">
        <v>5</v>
      </c>
      <c r="G8" t="s">
        <v>5</v>
      </c>
    </row>
    <row r="9" spans="2:8" x14ac:dyDescent="0.2">
      <c r="B9">
        <v>0.3</v>
      </c>
      <c r="C9">
        <v>6</v>
      </c>
      <c r="G9">
        <v>0.3</v>
      </c>
      <c r="H9">
        <v>51</v>
      </c>
    </row>
    <row r="10" spans="2:8" x14ac:dyDescent="0.2">
      <c r="B10">
        <v>0.5</v>
      </c>
      <c r="C10">
        <v>0</v>
      </c>
      <c r="G10">
        <v>0.5</v>
      </c>
      <c r="H10">
        <v>0</v>
      </c>
    </row>
    <row r="11" spans="2:8" x14ac:dyDescent="0.2">
      <c r="B11">
        <v>0.8</v>
      </c>
      <c r="C11">
        <v>0</v>
      </c>
      <c r="G11">
        <v>0.8</v>
      </c>
      <c r="H11">
        <v>0</v>
      </c>
    </row>
    <row r="12" spans="2:8" x14ac:dyDescent="0.2">
      <c r="B12" t="s">
        <v>6</v>
      </c>
      <c r="G12" t="s">
        <v>12</v>
      </c>
    </row>
    <row r="13" spans="2:8" x14ac:dyDescent="0.2">
      <c r="B13" t="s">
        <v>7</v>
      </c>
      <c r="G13" t="s">
        <v>13</v>
      </c>
    </row>
    <row r="15" spans="2:8" x14ac:dyDescent="0.2">
      <c r="B15" t="s">
        <v>8</v>
      </c>
      <c r="G15" t="s">
        <v>8</v>
      </c>
    </row>
    <row r="16" spans="2:8" x14ac:dyDescent="0.2">
      <c r="B16" t="s">
        <v>9</v>
      </c>
      <c r="G16" t="s">
        <v>9</v>
      </c>
    </row>
    <row r="17" spans="2:8" x14ac:dyDescent="0.2">
      <c r="B17" t="s">
        <v>2</v>
      </c>
      <c r="G17" t="s">
        <v>2</v>
      </c>
    </row>
    <row r="18" spans="2:8" x14ac:dyDescent="0.2">
      <c r="B18" t="s">
        <v>3</v>
      </c>
      <c r="C18" t="s">
        <v>4</v>
      </c>
      <c r="G18" t="s">
        <v>3</v>
      </c>
      <c r="H18" t="s">
        <v>4</v>
      </c>
    </row>
    <row r="19" spans="2:8" x14ac:dyDescent="0.2">
      <c r="B19" t="s">
        <v>5</v>
      </c>
      <c r="G19" t="s">
        <v>5</v>
      </c>
    </row>
    <row r="20" spans="2:8" x14ac:dyDescent="0.2">
      <c r="B20">
        <v>0.3</v>
      </c>
      <c r="C20">
        <v>0</v>
      </c>
      <c r="G20">
        <v>0.3</v>
      </c>
      <c r="H20">
        <v>1</v>
      </c>
    </row>
    <row r="21" spans="2:8" x14ac:dyDescent="0.2">
      <c r="B21">
        <v>0.5</v>
      </c>
      <c r="C21">
        <v>1</v>
      </c>
      <c r="G21">
        <v>0.5</v>
      </c>
      <c r="H21">
        <v>0</v>
      </c>
    </row>
    <row r="22" spans="2:8" x14ac:dyDescent="0.2">
      <c r="B22">
        <v>0.8</v>
      </c>
      <c r="C22">
        <v>0</v>
      </c>
      <c r="G22">
        <v>0.8</v>
      </c>
      <c r="H22">
        <v>0</v>
      </c>
    </row>
    <row r="23" spans="2:8" x14ac:dyDescent="0.2">
      <c r="B23">
        <v>1</v>
      </c>
      <c r="C23">
        <v>0</v>
      </c>
      <c r="G23">
        <v>1</v>
      </c>
      <c r="H23">
        <v>0</v>
      </c>
    </row>
    <row r="24" spans="2:8" x14ac:dyDescent="0.2">
      <c r="B24">
        <v>1.5</v>
      </c>
      <c r="C24">
        <v>5</v>
      </c>
      <c r="G24">
        <v>1.5</v>
      </c>
      <c r="H24">
        <v>0</v>
      </c>
    </row>
    <row r="25" spans="2:8" x14ac:dyDescent="0.2">
      <c r="B25">
        <v>2</v>
      </c>
      <c r="C25">
        <v>0</v>
      </c>
      <c r="G25">
        <v>2</v>
      </c>
      <c r="H25">
        <v>0</v>
      </c>
    </row>
    <row r="26" spans="2:8" x14ac:dyDescent="0.2">
      <c r="B26" t="s">
        <v>6</v>
      </c>
      <c r="G26">
        <v>2.5</v>
      </c>
      <c r="H26">
        <v>5</v>
      </c>
    </row>
    <row r="27" spans="2:8" x14ac:dyDescent="0.2">
      <c r="B27" t="s">
        <v>10</v>
      </c>
      <c r="G27">
        <v>5</v>
      </c>
      <c r="H27">
        <v>45</v>
      </c>
    </row>
    <row r="28" spans="2:8" x14ac:dyDescent="0.2">
      <c r="G28">
        <v>10</v>
      </c>
      <c r="H28">
        <v>0</v>
      </c>
    </row>
    <row r="29" spans="2:8" x14ac:dyDescent="0.2">
      <c r="G29">
        <v>15</v>
      </c>
      <c r="H29">
        <v>0</v>
      </c>
    </row>
    <row r="30" spans="2:8" x14ac:dyDescent="0.2">
      <c r="G30" t="s">
        <v>12</v>
      </c>
    </row>
    <row r="31" spans="2:8" x14ac:dyDescent="0.2">
      <c r="G31" t="s">
        <v>14</v>
      </c>
    </row>
    <row r="34" spans="2:7" x14ac:dyDescent="0.2">
      <c r="B34" t="s">
        <v>16</v>
      </c>
      <c r="G34" t="s">
        <v>16</v>
      </c>
    </row>
    <row r="35" spans="2:7" x14ac:dyDescent="0.2">
      <c r="B35" t="s">
        <v>17</v>
      </c>
      <c r="G35" t="s">
        <v>41</v>
      </c>
    </row>
    <row r="36" spans="2:7" x14ac:dyDescent="0.2">
      <c r="B36" t="s">
        <v>18</v>
      </c>
      <c r="G36" t="s">
        <v>42</v>
      </c>
    </row>
    <row r="37" spans="2:7" x14ac:dyDescent="0.2">
      <c r="B37" t="s">
        <v>19</v>
      </c>
      <c r="G37" t="s">
        <v>43</v>
      </c>
    </row>
    <row r="38" spans="2:7" x14ac:dyDescent="0.2">
      <c r="B38" t="s">
        <v>20</v>
      </c>
      <c r="G38" t="s">
        <v>44</v>
      </c>
    </row>
    <row r="39" spans="2:7" x14ac:dyDescent="0.2">
      <c r="B39" t="s">
        <v>21</v>
      </c>
      <c r="G39" t="s">
        <v>45</v>
      </c>
    </row>
    <row r="40" spans="2:7" x14ac:dyDescent="0.2">
      <c r="B40" t="s">
        <v>22</v>
      </c>
      <c r="G40" t="s">
        <v>22</v>
      </c>
    </row>
    <row r="41" spans="2:7" x14ac:dyDescent="0.2">
      <c r="B41" t="s">
        <v>23</v>
      </c>
      <c r="G41" t="s">
        <v>46</v>
      </c>
    </row>
    <row r="42" spans="2:7" x14ac:dyDescent="0.2">
      <c r="B42" t="s">
        <v>24</v>
      </c>
      <c r="G42" t="s">
        <v>47</v>
      </c>
    </row>
    <row r="43" spans="2:7" x14ac:dyDescent="0.2">
      <c r="B43" t="s">
        <v>25</v>
      </c>
      <c r="G43" t="s">
        <v>48</v>
      </c>
    </row>
    <row r="44" spans="2:7" x14ac:dyDescent="0.2">
      <c r="B44" t="s">
        <v>26</v>
      </c>
      <c r="G44" t="s">
        <v>49</v>
      </c>
    </row>
    <row r="45" spans="2:7" x14ac:dyDescent="0.2">
      <c r="B45" t="s">
        <v>27</v>
      </c>
      <c r="G45" t="s">
        <v>50</v>
      </c>
    </row>
    <row r="46" spans="2:7" x14ac:dyDescent="0.2">
      <c r="B46" t="s">
        <v>28</v>
      </c>
      <c r="G46" t="s">
        <v>28</v>
      </c>
    </row>
    <row r="47" spans="2:7" x14ac:dyDescent="0.2">
      <c r="B47" t="s">
        <v>29</v>
      </c>
      <c r="G47" t="s">
        <v>51</v>
      </c>
    </row>
    <row r="48" spans="2:7" x14ac:dyDescent="0.2">
      <c r="B48" t="s">
        <v>30</v>
      </c>
      <c r="G48" t="s">
        <v>52</v>
      </c>
    </row>
    <row r="49" spans="2:7" x14ac:dyDescent="0.2">
      <c r="B49" t="s">
        <v>31</v>
      </c>
      <c r="G49" t="s">
        <v>53</v>
      </c>
    </row>
    <row r="50" spans="2:7" x14ac:dyDescent="0.2">
      <c r="B50" t="s">
        <v>32</v>
      </c>
      <c r="G50" t="s">
        <v>54</v>
      </c>
    </row>
    <row r="51" spans="2:7" x14ac:dyDescent="0.2">
      <c r="B51" t="s">
        <v>33</v>
      </c>
      <c r="G51" t="s">
        <v>55</v>
      </c>
    </row>
    <row r="52" spans="2:7" x14ac:dyDescent="0.2">
      <c r="B52" t="s">
        <v>34</v>
      </c>
      <c r="G52" t="s">
        <v>34</v>
      </c>
    </row>
    <row r="53" spans="2:7" x14ac:dyDescent="0.2">
      <c r="B53" t="s">
        <v>35</v>
      </c>
      <c r="G53" t="s">
        <v>56</v>
      </c>
    </row>
    <row r="54" spans="2:7" x14ac:dyDescent="0.2">
      <c r="B54" t="s">
        <v>36</v>
      </c>
      <c r="G54" t="s">
        <v>57</v>
      </c>
    </row>
    <row r="55" spans="2:7" x14ac:dyDescent="0.2">
      <c r="B55" t="s">
        <v>37</v>
      </c>
      <c r="G55" t="s">
        <v>58</v>
      </c>
    </row>
    <row r="56" spans="2:7" x14ac:dyDescent="0.2">
      <c r="B56" t="s">
        <v>38</v>
      </c>
      <c r="G56" t="s">
        <v>59</v>
      </c>
    </row>
    <row r="57" spans="2:7" x14ac:dyDescent="0.2">
      <c r="B57" t="s">
        <v>39</v>
      </c>
      <c r="G57" t="s">
        <v>60</v>
      </c>
    </row>
    <row r="58" spans="2:7" x14ac:dyDescent="0.2">
      <c r="B58" t="s">
        <v>40</v>
      </c>
      <c r="G58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3B55E-7D4A-1240-91BD-410EE500206D}">
  <dimension ref="A2:Q91"/>
  <sheetViews>
    <sheetView topLeftCell="A58" workbookViewId="0">
      <selection activeCell="J35" sqref="J35"/>
    </sheetView>
  </sheetViews>
  <sheetFormatPr baseColWidth="10" defaultRowHeight="16" x14ac:dyDescent="0.2"/>
  <cols>
    <col min="1" max="1" width="15.5" customWidth="1"/>
    <col min="7" max="7" width="15.6640625" customWidth="1"/>
    <col min="13" max="13" width="15" customWidth="1"/>
  </cols>
  <sheetData>
    <row r="2" spans="1:17" x14ac:dyDescent="0.2">
      <c r="B2" t="s">
        <v>82</v>
      </c>
      <c r="G2" t="s">
        <v>81</v>
      </c>
    </row>
    <row r="4" spans="1:17" x14ac:dyDescent="0.2">
      <c r="A4" s="1" t="s">
        <v>63</v>
      </c>
      <c r="B4" t="s">
        <v>74</v>
      </c>
      <c r="C4" t="s">
        <v>72</v>
      </c>
      <c r="G4" s="1" t="s">
        <v>71</v>
      </c>
      <c r="H4" t="s">
        <v>74</v>
      </c>
      <c r="I4" t="s">
        <v>72</v>
      </c>
      <c r="J4" t="s">
        <v>73</v>
      </c>
      <c r="M4" s="1" t="s">
        <v>75</v>
      </c>
      <c r="N4" t="s">
        <v>74</v>
      </c>
      <c r="O4" t="s">
        <v>72</v>
      </c>
    </row>
    <row r="5" spans="1:17" x14ac:dyDescent="0.2">
      <c r="A5" t="s">
        <v>62</v>
      </c>
      <c r="B5" s="5">
        <f>C5/J5</f>
        <v>1.9090909090909092</v>
      </c>
      <c r="C5">
        <v>21</v>
      </c>
      <c r="G5" t="s">
        <v>62</v>
      </c>
      <c r="H5" s="2">
        <f>I5/J5</f>
        <v>1.7272727272727273</v>
      </c>
      <c r="I5">
        <v>19</v>
      </c>
      <c r="J5">
        <v>11</v>
      </c>
      <c r="M5" t="s">
        <v>62</v>
      </c>
      <c r="N5" s="2">
        <f>O5/P5</f>
        <v>0.61363636363636365</v>
      </c>
      <c r="O5">
        <v>27</v>
      </c>
      <c r="P5">
        <v>44</v>
      </c>
    </row>
    <row r="6" spans="1:17" x14ac:dyDescent="0.2">
      <c r="A6" t="s">
        <v>64</v>
      </c>
      <c r="B6" s="5">
        <f t="shared" ref="B6:B10" si="0">C6/J6</f>
        <v>0.81818181818181823</v>
      </c>
      <c r="C6">
        <v>9</v>
      </c>
      <c r="G6" t="s">
        <v>64</v>
      </c>
      <c r="H6" s="2">
        <f t="shared" ref="H6:H10" si="1">I6/J6</f>
        <v>0.90909090909090906</v>
      </c>
      <c r="I6">
        <v>10</v>
      </c>
      <c r="J6">
        <v>11</v>
      </c>
      <c r="M6" t="s">
        <v>64</v>
      </c>
      <c r="N6" s="2">
        <f t="shared" ref="N6:N10" si="2">O6/P6</f>
        <v>9.0909090909090912E-2</v>
      </c>
      <c r="O6">
        <v>4</v>
      </c>
      <c r="P6">
        <v>44</v>
      </c>
    </row>
    <row r="7" spans="1:17" x14ac:dyDescent="0.2">
      <c r="A7" t="s">
        <v>70</v>
      </c>
      <c r="B7" s="5">
        <f t="shared" si="0"/>
        <v>3.8181818181818183</v>
      </c>
      <c r="C7">
        <v>42</v>
      </c>
      <c r="G7" t="s">
        <v>70</v>
      </c>
      <c r="H7" s="2">
        <f t="shared" si="1"/>
        <v>3.3636363636363638</v>
      </c>
      <c r="I7">
        <v>37</v>
      </c>
      <c r="J7">
        <v>11</v>
      </c>
      <c r="M7" t="s">
        <v>70</v>
      </c>
      <c r="N7" s="2">
        <f t="shared" si="2"/>
        <v>0.34090909090909088</v>
      </c>
      <c r="O7">
        <v>15</v>
      </c>
      <c r="P7">
        <v>44</v>
      </c>
      <c r="Q7" t="s">
        <v>76</v>
      </c>
    </row>
    <row r="8" spans="1:17" x14ac:dyDescent="0.2">
      <c r="A8" t="s">
        <v>65</v>
      </c>
      <c r="B8" s="5">
        <f t="shared" si="0"/>
        <v>7.2727272727272727E-3</v>
      </c>
      <c r="C8">
        <v>0.08</v>
      </c>
      <c r="G8" t="s">
        <v>65</v>
      </c>
      <c r="H8" s="2">
        <f t="shared" si="1"/>
        <v>8.1818181818181807E-3</v>
      </c>
      <c r="I8">
        <v>0.09</v>
      </c>
      <c r="J8">
        <v>11</v>
      </c>
      <c r="M8" t="s">
        <v>65</v>
      </c>
      <c r="N8" s="2">
        <f t="shared" si="2"/>
        <v>0</v>
      </c>
      <c r="O8">
        <v>0</v>
      </c>
      <c r="P8">
        <v>44</v>
      </c>
    </row>
    <row r="9" spans="1:17" x14ac:dyDescent="0.2">
      <c r="A9" t="s">
        <v>67</v>
      </c>
      <c r="B9" s="5">
        <f t="shared" si="0"/>
        <v>3.6363636363636369E-2</v>
      </c>
      <c r="C9">
        <v>0.4</v>
      </c>
      <c r="G9" t="s">
        <v>67</v>
      </c>
      <c r="H9" s="2">
        <f t="shared" si="1"/>
        <v>2.7272727272727271E-2</v>
      </c>
      <c r="I9">
        <v>0.3</v>
      </c>
      <c r="J9">
        <v>11</v>
      </c>
      <c r="M9" t="s">
        <v>67</v>
      </c>
      <c r="N9" s="2">
        <f t="shared" si="2"/>
        <v>2.9545454545454545E-3</v>
      </c>
      <c r="O9">
        <v>0.13</v>
      </c>
      <c r="P9">
        <v>44</v>
      </c>
    </row>
    <row r="10" spans="1:17" x14ac:dyDescent="0.2">
      <c r="A10" t="s">
        <v>68</v>
      </c>
      <c r="B10" s="5">
        <f t="shared" si="0"/>
        <v>3.2282859338970023E-2</v>
      </c>
      <c r="C10">
        <v>42</v>
      </c>
      <c r="G10" t="s">
        <v>68</v>
      </c>
      <c r="H10" s="2">
        <f t="shared" si="1"/>
        <v>2.8439661798616449E-2</v>
      </c>
      <c r="I10">
        <v>37</v>
      </c>
      <c r="J10">
        <v>1301</v>
      </c>
      <c r="M10" t="s">
        <v>68</v>
      </c>
      <c r="N10" s="2">
        <f t="shared" si="2"/>
        <v>2.8823981552651805E-3</v>
      </c>
      <c r="O10">
        <v>15</v>
      </c>
      <c r="P10">
        <v>5204</v>
      </c>
    </row>
    <row r="11" spans="1:17" x14ac:dyDescent="0.2">
      <c r="B11" s="5"/>
    </row>
    <row r="12" spans="1:17" x14ac:dyDescent="0.2">
      <c r="B12" s="5"/>
    </row>
    <row r="13" spans="1:17" x14ac:dyDescent="0.2">
      <c r="B13" s="5"/>
    </row>
    <row r="14" spans="1:17" x14ac:dyDescent="0.2">
      <c r="A14" t="s">
        <v>66</v>
      </c>
      <c r="B14" s="6">
        <f>B7/128</f>
        <v>2.9829545454545456E-2</v>
      </c>
      <c r="G14" t="s">
        <v>66</v>
      </c>
      <c r="H14" s="4">
        <f>H7/128</f>
        <v>2.6278409090909092E-2</v>
      </c>
      <c r="M14" t="s">
        <v>66</v>
      </c>
      <c r="N14">
        <f>N7/128</f>
        <v>2.6633522727272725E-3</v>
      </c>
    </row>
    <row r="17" spans="1:17" x14ac:dyDescent="0.2">
      <c r="A17" s="1" t="s">
        <v>69</v>
      </c>
      <c r="G17" s="1" t="s">
        <v>69</v>
      </c>
    </row>
    <row r="18" spans="1:17" x14ac:dyDescent="0.2">
      <c r="A18" t="s">
        <v>62</v>
      </c>
      <c r="B18">
        <v>1.9</v>
      </c>
      <c r="G18" t="s">
        <v>62</v>
      </c>
      <c r="H18">
        <v>2.9</v>
      </c>
    </row>
    <row r="19" spans="1:17" x14ac:dyDescent="0.2">
      <c r="A19" t="s">
        <v>67</v>
      </c>
      <c r="B19">
        <v>3.2000000000000001E-2</v>
      </c>
      <c r="G19" t="s">
        <v>67</v>
      </c>
      <c r="H19">
        <v>2.8000000000000001E-2</v>
      </c>
    </row>
    <row r="20" spans="1:17" x14ac:dyDescent="0.2">
      <c r="A20" t="s">
        <v>68</v>
      </c>
      <c r="B20">
        <v>3.3000000000000002E-2</v>
      </c>
      <c r="G20" t="s">
        <v>68</v>
      </c>
      <c r="H20">
        <v>2.9000000000000001E-2</v>
      </c>
    </row>
    <row r="26" spans="1:17" x14ac:dyDescent="0.2">
      <c r="B26" t="s">
        <v>83</v>
      </c>
      <c r="G26" t="s">
        <v>79</v>
      </c>
    </row>
    <row r="28" spans="1:17" x14ac:dyDescent="0.2">
      <c r="A28" s="1" t="s">
        <v>63</v>
      </c>
      <c r="B28" t="s">
        <v>74</v>
      </c>
      <c r="C28" t="s">
        <v>72</v>
      </c>
      <c r="D28" t="s">
        <v>73</v>
      </c>
      <c r="G28" s="1" t="s">
        <v>71</v>
      </c>
      <c r="H28" t="s">
        <v>74</v>
      </c>
      <c r="I28" t="s">
        <v>72</v>
      </c>
      <c r="J28" t="s">
        <v>73</v>
      </c>
      <c r="M28" s="1" t="s">
        <v>75</v>
      </c>
      <c r="N28" t="s">
        <v>74</v>
      </c>
      <c r="O28" t="s">
        <v>72</v>
      </c>
    </row>
    <row r="29" spans="1:17" x14ac:dyDescent="0.2">
      <c r="A29" t="s">
        <v>62</v>
      </c>
      <c r="B29" s="5">
        <f>C29/D29</f>
        <v>1.6079734219269104</v>
      </c>
      <c r="C29">
        <v>484</v>
      </c>
      <c r="D29">
        <v>301</v>
      </c>
      <c r="G29" t="s">
        <v>62</v>
      </c>
      <c r="H29" s="5">
        <f>I29/J29</f>
        <v>1.5454545454545454</v>
      </c>
      <c r="I29">
        <v>17</v>
      </c>
      <c r="J29">
        <v>11</v>
      </c>
      <c r="M29" t="s">
        <v>62</v>
      </c>
      <c r="N29" s="2">
        <f>O29/P29</f>
        <v>0.63636363636363635</v>
      </c>
      <c r="O29">
        <v>28</v>
      </c>
      <c r="P29">
        <v>44</v>
      </c>
    </row>
    <row r="30" spans="1:17" x14ac:dyDescent="0.2">
      <c r="A30" t="s">
        <v>64</v>
      </c>
      <c r="B30" s="5">
        <f t="shared" ref="B30:B34" si="3">C30/D30</f>
        <v>0.77076411960132896</v>
      </c>
      <c r="C30">
        <v>232</v>
      </c>
      <c r="D30">
        <v>301</v>
      </c>
      <c r="G30" t="s">
        <v>64</v>
      </c>
      <c r="H30" s="5">
        <f t="shared" ref="H30:H34" si="4">I30/J30</f>
        <v>0.84545454545454557</v>
      </c>
      <c r="I30">
        <v>9.3000000000000007</v>
      </c>
      <c r="J30">
        <v>11</v>
      </c>
      <c r="M30" t="s">
        <v>64</v>
      </c>
      <c r="N30" s="2">
        <f t="shared" ref="N30:N34" si="5">O30/P30</f>
        <v>0.10227272727272728</v>
      </c>
      <c r="O30">
        <v>4.5</v>
      </c>
      <c r="P30">
        <v>44</v>
      </c>
    </row>
    <row r="31" spans="1:17" x14ac:dyDescent="0.2">
      <c r="A31" t="s">
        <v>70</v>
      </c>
      <c r="B31" s="5">
        <f t="shared" si="3"/>
        <v>5.8039867109634553</v>
      </c>
      <c r="C31">
        <v>1747</v>
      </c>
      <c r="D31">
        <v>301</v>
      </c>
      <c r="G31" t="s">
        <v>70</v>
      </c>
      <c r="H31" s="5">
        <f t="shared" si="4"/>
        <v>3.6363636363636362</v>
      </c>
      <c r="I31">
        <v>40</v>
      </c>
      <c r="J31">
        <v>11</v>
      </c>
      <c r="M31" t="s">
        <v>70</v>
      </c>
      <c r="N31" s="2">
        <f t="shared" si="5"/>
        <v>0</v>
      </c>
      <c r="O31">
        <v>0</v>
      </c>
      <c r="P31">
        <v>44</v>
      </c>
      <c r="Q31" t="s">
        <v>77</v>
      </c>
    </row>
    <row r="32" spans="1:17" x14ac:dyDescent="0.2">
      <c r="A32" t="s">
        <v>65</v>
      </c>
      <c r="B32" s="5">
        <f t="shared" si="3"/>
        <v>7.3089700996677746E-3</v>
      </c>
      <c r="C32">
        <v>2.2000000000000002</v>
      </c>
      <c r="D32">
        <v>301</v>
      </c>
      <c r="G32" t="s">
        <v>65</v>
      </c>
      <c r="H32" s="5">
        <f t="shared" si="4"/>
        <v>8.1818181818181807E-3</v>
      </c>
      <c r="I32">
        <v>0.09</v>
      </c>
      <c r="J32">
        <v>11</v>
      </c>
      <c r="M32" t="s">
        <v>65</v>
      </c>
      <c r="N32" s="2">
        <f t="shared" si="5"/>
        <v>0</v>
      </c>
      <c r="O32">
        <v>0</v>
      </c>
      <c r="P32">
        <v>44</v>
      </c>
    </row>
    <row r="33" spans="1:16" x14ac:dyDescent="0.2">
      <c r="A33" t="s">
        <v>67</v>
      </c>
      <c r="B33" s="5">
        <f t="shared" si="3"/>
        <v>4.6511627906976744E-2</v>
      </c>
      <c r="C33">
        <v>14</v>
      </c>
      <c r="D33">
        <v>301</v>
      </c>
      <c r="G33" t="s">
        <v>67</v>
      </c>
      <c r="H33" s="5">
        <f t="shared" si="4"/>
        <v>3.0000000000000002E-2</v>
      </c>
      <c r="I33">
        <v>0.33</v>
      </c>
      <c r="J33">
        <v>11</v>
      </c>
      <c r="M33" t="s">
        <v>67</v>
      </c>
      <c r="N33" s="2">
        <f t="shared" si="5"/>
        <v>0</v>
      </c>
      <c r="O33">
        <v>0</v>
      </c>
      <c r="P33">
        <v>44</v>
      </c>
    </row>
    <row r="34" spans="1:16" x14ac:dyDescent="0.2">
      <c r="A34" t="s">
        <v>68</v>
      </c>
      <c r="B34" s="5">
        <f t="shared" si="3"/>
        <v>4.5815740473630379E-2</v>
      </c>
      <c r="C34">
        <v>1747</v>
      </c>
      <c r="D34">
        <v>38131</v>
      </c>
      <c r="G34" t="s">
        <v>68</v>
      </c>
      <c r="H34" s="5">
        <f t="shared" si="4"/>
        <v>3.0745580322828592E-2</v>
      </c>
      <c r="I34">
        <v>40</v>
      </c>
      <c r="J34">
        <v>1301</v>
      </c>
      <c r="M34" t="s">
        <v>68</v>
      </c>
      <c r="N34" s="2">
        <f t="shared" si="5"/>
        <v>0</v>
      </c>
      <c r="O34">
        <v>0</v>
      </c>
      <c r="P34">
        <v>1</v>
      </c>
    </row>
    <row r="35" spans="1:16" x14ac:dyDescent="0.2">
      <c r="B35" s="5"/>
      <c r="H35" s="5"/>
    </row>
    <row r="36" spans="1:16" x14ac:dyDescent="0.2">
      <c r="B36" s="5"/>
      <c r="H36" s="5"/>
    </row>
    <row r="37" spans="1:16" x14ac:dyDescent="0.2">
      <c r="B37" s="5"/>
      <c r="H37" s="5"/>
    </row>
    <row r="38" spans="1:16" x14ac:dyDescent="0.2">
      <c r="A38" t="s">
        <v>66</v>
      </c>
      <c r="B38" s="6">
        <f>B31/128</f>
        <v>4.5343646179401995E-2</v>
      </c>
      <c r="G38" t="s">
        <v>66</v>
      </c>
      <c r="H38" s="6">
        <f>H31/128</f>
        <v>2.8409090909090908E-2</v>
      </c>
      <c r="M38" t="s">
        <v>66</v>
      </c>
      <c r="N38">
        <f>N31/128</f>
        <v>0</v>
      </c>
    </row>
    <row r="41" spans="1:16" x14ac:dyDescent="0.2">
      <c r="A41" s="1" t="s">
        <v>69</v>
      </c>
      <c r="B41" t="s">
        <v>74</v>
      </c>
      <c r="C41" t="s">
        <v>80</v>
      </c>
      <c r="G41" s="1" t="s">
        <v>69</v>
      </c>
    </row>
    <row r="42" spans="1:16" x14ac:dyDescent="0.2">
      <c r="A42" t="s">
        <v>62</v>
      </c>
      <c r="B42">
        <v>1.8</v>
      </c>
      <c r="C42">
        <v>1.6</v>
      </c>
      <c r="G42" t="s">
        <v>62</v>
      </c>
      <c r="H42">
        <v>2.4</v>
      </c>
    </row>
    <row r="43" spans="1:16" x14ac:dyDescent="0.2">
      <c r="A43" t="s">
        <v>67</v>
      </c>
      <c r="B43">
        <v>4.4999999999999998E-2</v>
      </c>
      <c r="C43">
        <v>3.7999999999999999E-2</v>
      </c>
      <c r="G43" t="s">
        <v>67</v>
      </c>
      <c r="H43">
        <v>0.03</v>
      </c>
    </row>
    <row r="44" spans="1:16" x14ac:dyDescent="0.2">
      <c r="A44" t="s">
        <v>68</v>
      </c>
      <c r="B44">
        <v>4.7E-2</v>
      </c>
      <c r="C44">
        <v>1.6E-2</v>
      </c>
      <c r="G44" t="s">
        <v>68</v>
      </c>
      <c r="H44">
        <v>3.2000000000000001E-2</v>
      </c>
    </row>
    <row r="49" spans="1:16" x14ac:dyDescent="0.2">
      <c r="B49" t="s">
        <v>85</v>
      </c>
      <c r="G49" t="s">
        <v>78</v>
      </c>
    </row>
    <row r="51" spans="1:16" x14ac:dyDescent="0.2">
      <c r="A51" s="1" t="s">
        <v>63</v>
      </c>
      <c r="B51" t="s">
        <v>74</v>
      </c>
      <c r="C51" t="s">
        <v>72</v>
      </c>
      <c r="D51" t="s">
        <v>73</v>
      </c>
      <c r="G51" s="1" t="s">
        <v>71</v>
      </c>
      <c r="H51" t="s">
        <v>74</v>
      </c>
      <c r="I51" t="s">
        <v>72</v>
      </c>
      <c r="J51" t="s">
        <v>73</v>
      </c>
      <c r="M51" s="1" t="s">
        <v>75</v>
      </c>
      <c r="N51" t="s">
        <v>74</v>
      </c>
      <c r="O51" t="s">
        <v>72</v>
      </c>
    </row>
    <row r="52" spans="1:16" x14ac:dyDescent="0.2">
      <c r="A52" t="s">
        <v>62</v>
      </c>
      <c r="B52" s="5">
        <f>C52/D52</f>
        <v>1.4545454545454546</v>
      </c>
      <c r="C52">
        <v>16</v>
      </c>
      <c r="D52">
        <v>11</v>
      </c>
      <c r="G52" t="s">
        <v>62</v>
      </c>
      <c r="H52" s="2">
        <f>I52/J52</f>
        <v>1.4053156146179402</v>
      </c>
      <c r="I52">
        <v>423</v>
      </c>
      <c r="J52">
        <v>301</v>
      </c>
      <c r="M52" t="s">
        <v>62</v>
      </c>
      <c r="N52" s="2">
        <f>O52/P52</f>
        <v>0.4019933554817276</v>
      </c>
      <c r="O52">
        <v>484</v>
      </c>
      <c r="P52">
        <v>1204</v>
      </c>
    </row>
    <row r="53" spans="1:16" x14ac:dyDescent="0.2">
      <c r="A53" t="s">
        <v>64</v>
      </c>
      <c r="B53" s="5">
        <f t="shared" ref="B53:B57" si="6">C53/D53</f>
        <v>0.72727272727272729</v>
      </c>
      <c r="C53">
        <v>8</v>
      </c>
      <c r="D53">
        <v>11</v>
      </c>
      <c r="G53" t="s">
        <v>64</v>
      </c>
      <c r="H53" s="2">
        <f>I53/J53</f>
        <v>0.77076411960132896</v>
      </c>
      <c r="I53">
        <v>232</v>
      </c>
      <c r="J53">
        <v>301</v>
      </c>
      <c r="M53" t="s">
        <v>64</v>
      </c>
      <c r="N53" s="2">
        <f t="shared" ref="N53:N57" si="7">O53/P53</f>
        <v>6.5614617940199335E-2</v>
      </c>
      <c r="O53">
        <v>79</v>
      </c>
      <c r="P53">
        <v>1204</v>
      </c>
    </row>
    <row r="54" spans="1:16" x14ac:dyDescent="0.2">
      <c r="A54" t="s">
        <v>84</v>
      </c>
      <c r="B54" s="5">
        <f t="shared" si="6"/>
        <v>7.0909090909090908</v>
      </c>
      <c r="C54">
        <v>78</v>
      </c>
      <c r="D54">
        <v>11</v>
      </c>
      <c r="G54" t="s">
        <v>70</v>
      </c>
      <c r="H54" s="2">
        <f>I54/J54</f>
        <v>5.4152823920265778</v>
      </c>
      <c r="I54">
        <v>1630</v>
      </c>
      <c r="J54">
        <v>301</v>
      </c>
      <c r="M54" t="s">
        <v>70</v>
      </c>
      <c r="N54" s="2">
        <f t="shared" si="7"/>
        <v>0</v>
      </c>
      <c r="O54">
        <v>0</v>
      </c>
      <c r="P54">
        <v>1204</v>
      </c>
    </row>
    <row r="55" spans="1:16" x14ac:dyDescent="0.2">
      <c r="A55" t="s">
        <v>65</v>
      </c>
      <c r="B55" s="5">
        <f t="shared" si="6"/>
        <v>0</v>
      </c>
      <c r="C55">
        <v>0</v>
      </c>
      <c r="D55">
        <v>11</v>
      </c>
      <c r="G55" t="s">
        <v>65</v>
      </c>
      <c r="H55" s="2">
        <f>I55/J55</f>
        <v>3.6544850498338873E-3</v>
      </c>
      <c r="I55">
        <v>1.1000000000000001</v>
      </c>
      <c r="J55">
        <v>301</v>
      </c>
      <c r="M55" t="s">
        <v>65</v>
      </c>
      <c r="N55" s="2">
        <f t="shared" si="7"/>
        <v>1.6611295681063124E-4</v>
      </c>
      <c r="O55">
        <v>0.2</v>
      </c>
      <c r="P55">
        <v>1204</v>
      </c>
    </row>
    <row r="56" spans="1:16" x14ac:dyDescent="0.2">
      <c r="A56" t="s">
        <v>67</v>
      </c>
      <c r="B56" s="5">
        <f t="shared" si="6"/>
        <v>1.5454545454545455E-2</v>
      </c>
      <c r="C56">
        <v>0.17</v>
      </c>
      <c r="D56">
        <v>11</v>
      </c>
      <c r="G56" t="s">
        <v>67</v>
      </c>
      <c r="H56" s="2">
        <f>I56/J56</f>
        <v>4.2857142857142858E-2</v>
      </c>
      <c r="I56">
        <v>12.9</v>
      </c>
      <c r="J56">
        <v>301</v>
      </c>
      <c r="M56" t="s">
        <v>67</v>
      </c>
      <c r="N56" s="2">
        <f t="shared" si="7"/>
        <v>0</v>
      </c>
      <c r="O56">
        <v>0</v>
      </c>
      <c r="P56">
        <v>1204</v>
      </c>
    </row>
    <row r="57" spans="1:16" x14ac:dyDescent="0.2">
      <c r="A57" t="s">
        <v>68</v>
      </c>
      <c r="B57" s="5">
        <f t="shared" si="6"/>
        <v>1.5172145496985022E-2</v>
      </c>
      <c r="C57">
        <v>78</v>
      </c>
      <c r="D57">
        <v>5141</v>
      </c>
      <c r="G57" t="s">
        <v>68</v>
      </c>
      <c r="H57" s="2">
        <f>I57/J57</f>
        <v>4.2747370905562403E-2</v>
      </c>
      <c r="I57">
        <v>1630</v>
      </c>
      <c r="J57">
        <v>38131</v>
      </c>
      <c r="M57" t="s">
        <v>68</v>
      </c>
      <c r="N57" s="2">
        <f t="shared" si="7"/>
        <v>0</v>
      </c>
      <c r="O57">
        <v>0</v>
      </c>
      <c r="P57">
        <v>1</v>
      </c>
    </row>
    <row r="61" spans="1:16" x14ac:dyDescent="0.2">
      <c r="A61" t="s">
        <v>66</v>
      </c>
      <c r="B61" s="5">
        <f>B54/512</f>
        <v>1.3849431818181818E-2</v>
      </c>
      <c r="G61" t="s">
        <v>66</v>
      </c>
      <c r="H61" s="2">
        <f>H54/128</f>
        <v>4.2306893687707639E-2</v>
      </c>
      <c r="M61" t="s">
        <v>66</v>
      </c>
      <c r="N61">
        <f>N54/128</f>
        <v>0</v>
      </c>
    </row>
    <row r="64" spans="1:16" x14ac:dyDescent="0.2">
      <c r="A64" s="1" t="s">
        <v>69</v>
      </c>
      <c r="B64" t="s">
        <v>74</v>
      </c>
      <c r="C64" t="s">
        <v>80</v>
      </c>
      <c r="G64" s="1" t="s">
        <v>69</v>
      </c>
      <c r="H64" s="3" t="s">
        <v>74</v>
      </c>
      <c r="I64" s="3" t="s">
        <v>80</v>
      </c>
    </row>
    <row r="65" spans="1:9" x14ac:dyDescent="0.2">
      <c r="A65" t="s">
        <v>62</v>
      </c>
      <c r="B65">
        <v>1.6</v>
      </c>
      <c r="C65">
        <v>1.4</v>
      </c>
      <c r="G65" t="s">
        <v>62</v>
      </c>
      <c r="H65">
        <v>2.1</v>
      </c>
      <c r="I65">
        <v>1.9</v>
      </c>
    </row>
    <row r="66" spans="1:9" x14ac:dyDescent="0.2">
      <c r="A66" t="s">
        <v>67</v>
      </c>
      <c r="B66">
        <v>1.4999999999999999E-2</v>
      </c>
      <c r="C66">
        <v>1.4999999999999999E-2</v>
      </c>
      <c r="G66" t="s">
        <v>67</v>
      </c>
      <c r="H66">
        <v>4.2000000000000003E-2</v>
      </c>
      <c r="I66">
        <v>3.6999999999999998E-2</v>
      </c>
    </row>
    <row r="67" spans="1:9" x14ac:dyDescent="0.2">
      <c r="A67" t="s">
        <v>68</v>
      </c>
      <c r="B67">
        <v>0.02</v>
      </c>
      <c r="C67">
        <v>1.2999999999999999E-2</v>
      </c>
      <c r="G67" t="s">
        <v>68</v>
      </c>
      <c r="H67">
        <v>4.3999999999999997E-2</v>
      </c>
      <c r="I67">
        <v>1.4999999999999999E-2</v>
      </c>
    </row>
    <row r="73" spans="1:9" x14ac:dyDescent="0.2">
      <c r="B73" t="s">
        <v>86</v>
      </c>
    </row>
    <row r="75" spans="1:9" x14ac:dyDescent="0.2">
      <c r="A75" s="1" t="s">
        <v>63</v>
      </c>
      <c r="B75" t="s">
        <v>74</v>
      </c>
      <c r="C75" t="s">
        <v>72</v>
      </c>
      <c r="D75" t="s">
        <v>73</v>
      </c>
    </row>
    <row r="76" spans="1:9" x14ac:dyDescent="0.2">
      <c r="A76" t="s">
        <v>62</v>
      </c>
      <c r="B76" s="5">
        <f>C76/D76</f>
        <v>1.263157894736842</v>
      </c>
      <c r="C76">
        <v>96</v>
      </c>
      <c r="D76">
        <v>76</v>
      </c>
    </row>
    <row r="77" spans="1:9" x14ac:dyDescent="0.2">
      <c r="A77" t="s">
        <v>64</v>
      </c>
      <c r="B77" s="5">
        <f t="shared" ref="B77:B81" si="8">C77/D77</f>
        <v>0.67105263157894735</v>
      </c>
      <c r="C77">
        <v>51</v>
      </c>
      <c r="D77">
        <v>76</v>
      </c>
    </row>
    <row r="78" spans="1:9" x14ac:dyDescent="0.2">
      <c r="A78" t="s">
        <v>84</v>
      </c>
      <c r="B78" s="5">
        <f t="shared" si="8"/>
        <v>7.2368421052631575</v>
      </c>
      <c r="C78">
        <v>550</v>
      </c>
      <c r="D78">
        <v>76</v>
      </c>
    </row>
    <row r="79" spans="1:9" x14ac:dyDescent="0.2">
      <c r="A79" t="s">
        <v>65</v>
      </c>
      <c r="B79" s="5">
        <f t="shared" si="8"/>
        <v>0</v>
      </c>
      <c r="D79">
        <v>76</v>
      </c>
    </row>
    <row r="80" spans="1:9" x14ac:dyDescent="0.2">
      <c r="A80" t="s">
        <v>67</v>
      </c>
      <c r="B80" s="5">
        <f t="shared" si="8"/>
        <v>1.4210526315789474E-2</v>
      </c>
      <c r="C80">
        <v>1.08</v>
      </c>
      <c r="D80">
        <v>76</v>
      </c>
    </row>
    <row r="81" spans="1:4" x14ac:dyDescent="0.2">
      <c r="A81" t="s">
        <v>68</v>
      </c>
      <c r="B81" s="5">
        <f t="shared" si="8"/>
        <v>1.4339347168630723E-2</v>
      </c>
      <c r="C81">
        <v>550</v>
      </c>
      <c r="D81">
        <v>38356</v>
      </c>
    </row>
    <row r="85" spans="1:4" x14ac:dyDescent="0.2">
      <c r="A85" t="s">
        <v>66</v>
      </c>
      <c r="B85" s="5">
        <f>B78/512</f>
        <v>1.4134457236842105E-2</v>
      </c>
    </row>
    <row r="88" spans="1:4" x14ac:dyDescent="0.2">
      <c r="A88" s="1" t="s">
        <v>69</v>
      </c>
      <c r="B88" t="s">
        <v>74</v>
      </c>
      <c r="C88" t="s">
        <v>80</v>
      </c>
    </row>
    <row r="89" spans="1:4" x14ac:dyDescent="0.2">
      <c r="A89" t="s">
        <v>62</v>
      </c>
    </row>
    <row r="90" spans="1:4" x14ac:dyDescent="0.2">
      <c r="A90" t="s">
        <v>67</v>
      </c>
    </row>
    <row r="91" spans="1:4" x14ac:dyDescent="0.2">
      <c r="A9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17E2A-8E22-6049-AC54-A564C950B12B}">
  <dimension ref="A1:E4"/>
  <sheetViews>
    <sheetView workbookViewId="0">
      <selection activeCell="B4" sqref="B4"/>
    </sheetView>
  </sheetViews>
  <sheetFormatPr baseColWidth="10" defaultRowHeight="16" x14ac:dyDescent="0.2"/>
  <sheetData>
    <row r="1" spans="1:5" x14ac:dyDescent="0.2">
      <c r="B1" t="s">
        <v>88</v>
      </c>
      <c r="C1" t="s">
        <v>89</v>
      </c>
      <c r="E1" t="s">
        <v>93</v>
      </c>
    </row>
    <row r="2" spans="1:5" x14ac:dyDescent="0.2">
      <c r="A2" t="s">
        <v>67</v>
      </c>
      <c r="B2">
        <v>301</v>
      </c>
      <c r="C2">
        <v>17.420000000000002</v>
      </c>
      <c r="E2">
        <f>C2/301</f>
        <v>5.7873754152823927E-2</v>
      </c>
    </row>
    <row r="3" spans="1:5" x14ac:dyDescent="0.2">
      <c r="B3" t="s">
        <v>92</v>
      </c>
      <c r="E3" t="s">
        <v>91</v>
      </c>
    </row>
    <row r="4" spans="1:5" x14ac:dyDescent="0.2">
      <c r="A4" t="s">
        <v>87</v>
      </c>
      <c r="B4">
        <v>153331</v>
      </c>
      <c r="C4">
        <v>8897.82</v>
      </c>
      <c r="E4">
        <f>C4/B4</f>
        <v>5.803014393697295E-2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92B8B-EAB2-4C49-AA1C-B2A288B118C2}">
  <dimension ref="A1:I44"/>
  <sheetViews>
    <sheetView tabSelected="1" workbookViewId="0">
      <selection activeCell="B41" sqref="B41:C42"/>
    </sheetView>
  </sheetViews>
  <sheetFormatPr baseColWidth="10" defaultRowHeight="16" x14ac:dyDescent="0.2"/>
  <cols>
    <col min="2" max="2" width="14.5" bestFit="1" customWidth="1"/>
  </cols>
  <sheetData>
    <row r="1" spans="1:9" x14ac:dyDescent="0.2">
      <c r="A1" t="s">
        <v>96</v>
      </c>
    </row>
    <row r="2" spans="1:9" x14ac:dyDescent="0.2">
      <c r="B2" t="s">
        <v>100</v>
      </c>
      <c r="C2">
        <f>131/151</f>
        <v>0.86754966887417218</v>
      </c>
      <c r="F2" t="s">
        <v>103</v>
      </c>
      <c r="G2">
        <f>7.94/151</f>
        <v>5.2582781456953644E-2</v>
      </c>
    </row>
    <row r="3" spans="1:9" x14ac:dyDescent="0.2">
      <c r="B3" t="s">
        <v>101</v>
      </c>
      <c r="C3">
        <f>2019/151</f>
        <v>13.370860927152318</v>
      </c>
      <c r="F3" t="s">
        <v>98</v>
      </c>
      <c r="G3">
        <f>2019/38281</f>
        <v>5.2741568924531752E-2</v>
      </c>
    </row>
    <row r="5" spans="1:9" x14ac:dyDescent="0.2">
      <c r="B5" t="s">
        <v>94</v>
      </c>
      <c r="C5">
        <v>2050</v>
      </c>
    </row>
    <row r="6" spans="1:9" x14ac:dyDescent="0.2">
      <c r="B6" t="s">
        <v>104</v>
      </c>
      <c r="C6">
        <v>52.78</v>
      </c>
      <c r="D6">
        <f>C6*255</f>
        <v>13458.9</v>
      </c>
    </row>
    <row r="7" spans="1:9" x14ac:dyDescent="0.2">
      <c r="B7" t="s">
        <v>98</v>
      </c>
      <c r="C7">
        <v>59.92</v>
      </c>
    </row>
    <row r="8" spans="1:9" x14ac:dyDescent="0.2">
      <c r="B8" t="s">
        <v>90</v>
      </c>
      <c r="C8">
        <v>15510</v>
      </c>
    </row>
    <row r="9" spans="1:9" x14ac:dyDescent="0.2">
      <c r="B9" t="s">
        <v>95</v>
      </c>
      <c r="C9">
        <f>C5+D6</f>
        <v>15508.9</v>
      </c>
    </row>
    <row r="12" spans="1:9" x14ac:dyDescent="0.2">
      <c r="A12" t="s">
        <v>97</v>
      </c>
    </row>
    <row r="13" spans="1:9" x14ac:dyDescent="0.2">
      <c r="B13" t="s">
        <v>100</v>
      </c>
      <c r="C13">
        <f>359/301</f>
        <v>1.1926910299003322</v>
      </c>
      <c r="I13">
        <f>C13-C2</f>
        <v>0.32514136102615998</v>
      </c>
    </row>
    <row r="14" spans="1:9" x14ac:dyDescent="0.2">
      <c r="B14" t="s">
        <v>101</v>
      </c>
      <c r="C14">
        <f>17981/301</f>
        <v>59.737541528239205</v>
      </c>
    </row>
    <row r="16" spans="1:9" x14ac:dyDescent="0.2">
      <c r="B16" t="s">
        <v>94</v>
      </c>
      <c r="C16">
        <v>4405</v>
      </c>
    </row>
    <row r="17" spans="1:9" x14ac:dyDescent="0.2">
      <c r="B17" t="s">
        <v>104</v>
      </c>
      <c r="C17">
        <v>235.02</v>
      </c>
      <c r="D17">
        <f>C17*255</f>
        <v>59930.100000000006</v>
      </c>
    </row>
    <row r="18" spans="1:9" x14ac:dyDescent="0.2">
      <c r="B18" t="s">
        <v>98</v>
      </c>
      <c r="C18">
        <v>264.39</v>
      </c>
    </row>
    <row r="19" spans="1:9" x14ac:dyDescent="0.2">
      <c r="B19" t="s">
        <v>90</v>
      </c>
      <c r="C19">
        <v>64334</v>
      </c>
    </row>
    <row r="20" spans="1:9" x14ac:dyDescent="0.2">
      <c r="B20" t="s">
        <v>95</v>
      </c>
      <c r="C20">
        <f>C16+D17</f>
        <v>64335.100000000006</v>
      </c>
    </row>
    <row r="24" spans="1:9" x14ac:dyDescent="0.2">
      <c r="A24" t="s">
        <v>99</v>
      </c>
    </row>
    <row r="25" spans="1:9" x14ac:dyDescent="0.2">
      <c r="B25" t="s">
        <v>100</v>
      </c>
      <c r="C25">
        <f>737/597</f>
        <v>1.2345058626465661</v>
      </c>
      <c r="I25">
        <f>C25-C13</f>
        <v>4.1814832746233987E-2</v>
      </c>
    </row>
    <row r="26" spans="1:9" x14ac:dyDescent="0.2">
      <c r="B26" t="s">
        <v>101</v>
      </c>
      <c r="C26">
        <f>45245/597</f>
        <v>75.787269681742046</v>
      </c>
    </row>
    <row r="28" spans="1:9" x14ac:dyDescent="0.2">
      <c r="B28" t="s">
        <v>94</v>
      </c>
      <c r="C28">
        <v>76953</v>
      </c>
    </row>
    <row r="29" spans="1:9" x14ac:dyDescent="0.2">
      <c r="B29" t="s">
        <v>104</v>
      </c>
      <c r="C29">
        <v>297.68</v>
      </c>
      <c r="D29">
        <f>C29*255</f>
        <v>75908.400000000009</v>
      </c>
    </row>
    <row r="30" spans="1:9" x14ac:dyDescent="0.2">
      <c r="B30" t="s">
        <v>98</v>
      </c>
      <c r="C30">
        <v>337.55</v>
      </c>
    </row>
    <row r="31" spans="1:9" x14ac:dyDescent="0.2">
      <c r="B31" t="s">
        <v>90</v>
      </c>
      <c r="C31">
        <v>152863</v>
      </c>
    </row>
    <row r="32" spans="1:9" x14ac:dyDescent="0.2">
      <c r="B32" t="s">
        <v>95</v>
      </c>
      <c r="C32">
        <f>C28+D29</f>
        <v>152861.40000000002</v>
      </c>
    </row>
    <row r="36" spans="1:7" x14ac:dyDescent="0.2">
      <c r="A36" t="s">
        <v>102</v>
      </c>
    </row>
    <row r="37" spans="1:7" x14ac:dyDescent="0.2">
      <c r="B37" t="s">
        <v>100</v>
      </c>
      <c r="C37">
        <f>133.65/151</f>
        <v>0.88509933774834437</v>
      </c>
      <c r="F37" t="s">
        <v>103</v>
      </c>
      <c r="G37">
        <f>7.76/151</f>
        <v>5.139072847682119E-2</v>
      </c>
    </row>
    <row r="38" spans="1:7" x14ac:dyDescent="0.2">
      <c r="B38" t="s">
        <v>101</v>
      </c>
      <c r="C38">
        <f>1973.36/151</f>
        <v>13.068609271523178</v>
      </c>
      <c r="F38" t="s">
        <v>98</v>
      </c>
      <c r="G38">
        <f>1973.36/38281</f>
        <v>5.1549332567069825E-2</v>
      </c>
    </row>
    <row r="40" spans="1:7" x14ac:dyDescent="0.2">
      <c r="B40" t="s">
        <v>94</v>
      </c>
      <c r="C40">
        <v>2039</v>
      </c>
    </row>
    <row r="41" spans="1:7" x14ac:dyDescent="0.2">
      <c r="B41" t="s">
        <v>104</v>
      </c>
      <c r="C41">
        <v>51.56</v>
      </c>
      <c r="D41">
        <f>C41*255</f>
        <v>13147.800000000001</v>
      </c>
    </row>
    <row r="42" spans="1:7" x14ac:dyDescent="0.2">
      <c r="B42" t="s">
        <v>98</v>
      </c>
      <c r="C42">
        <v>52.47</v>
      </c>
    </row>
    <row r="43" spans="1:7" x14ac:dyDescent="0.2">
      <c r="B43" t="s">
        <v>90</v>
      </c>
      <c r="C43">
        <v>15188</v>
      </c>
    </row>
    <row r="44" spans="1:7" x14ac:dyDescent="0.2">
      <c r="B44" t="s">
        <v>95</v>
      </c>
      <c r="C44">
        <f>C40+D41</f>
        <v>15186.800000000001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BARNEA</dc:creator>
  <cp:lastModifiedBy>MAYA BARNEA</cp:lastModifiedBy>
  <dcterms:created xsi:type="dcterms:W3CDTF">2026-07-21T10:02:16Z</dcterms:created>
  <dcterms:modified xsi:type="dcterms:W3CDTF">2026-07-26T08:55:49Z</dcterms:modified>
</cp:coreProperties>
</file>